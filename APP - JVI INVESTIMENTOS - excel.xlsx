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mento" sheetId="1" r:id="rId5"/>
    <sheet state="visible" name="Inputs - Apoio" sheetId="2" r:id="rId6"/>
  </sheets>
  <definedNames/>
  <calcPr/>
</workbook>
</file>

<file path=xl/sharedStrings.xml><?xml version="1.0" encoding="utf-8"?>
<sst xmlns="http://schemas.openxmlformats.org/spreadsheetml/2006/main" count="90" uniqueCount="55">
  <si>
    <t xml:space="preserve">PLANEJADOR DE INDEPENDÊNCIA FINANCEIRA COM FIIs </t>
  </si>
  <si>
    <t>Descubra quando você poderá viver de renda</t>
  </si>
  <si>
    <t>Preencha apenas os campos com borda azul.</t>
  </si>
  <si>
    <t>SEUS DADOS FINANCEIROS</t>
  </si>
  <si>
    <t>Quanto você já tem investido em FIIs?</t>
  </si>
  <si>
    <t>Quanto você pode investir por mês?</t>
  </si>
  <si>
    <t>Qual renda mensal você precisa para viver?</t>
  </si>
  <si>
    <t>Rendimento médio mensal esperado</t>
  </si>
  <si>
    <t xml:space="preserve">SUA META DE INDEPENDÊNCIA </t>
  </si>
  <si>
    <t>Patrimônio necessário para viver de renda</t>
  </si>
  <si>
    <t>Falta acumular ainda</t>
  </si>
  <si>
    <t>Tempo estimado para atingir meta</t>
  </si>
  <si>
    <t>Renda mensal</t>
  </si>
  <si>
    <t xml:space="preserve">PATRIMÔNIO </t>
  </si>
  <si>
    <t>Em anos</t>
  </si>
  <si>
    <t>Total Acumulado</t>
  </si>
  <si>
    <t>Dividendos</t>
  </si>
  <si>
    <t>ESTRATÉGIAS DE INVESTIMENTO</t>
  </si>
  <si>
    <t>Veja quanto acumularia com cada estratégia</t>
  </si>
  <si>
    <t>Escolha seu perfil</t>
  </si>
  <si>
    <t>Agressivo</t>
  </si>
  <si>
    <t>Rendimento Mensal</t>
  </si>
  <si>
    <t>Aporte Mensal</t>
  </si>
  <si>
    <t>QUANTO VOCÊ TERÁ ACUMULADO</t>
  </si>
  <si>
    <t>Patrimônio em 5 anos</t>
  </si>
  <si>
    <t>Patrimônio em 10 anos</t>
  </si>
  <si>
    <t>Patrimônio em 15 anos</t>
  </si>
  <si>
    <t>Patrimônio em 20 anos</t>
  </si>
  <si>
    <t>DIVERSIFICAÇÃO DA CARTEIRA</t>
  </si>
  <si>
    <t>Ideias de como distribuir seu investimento mensal de acordo com seu perfil</t>
  </si>
  <si>
    <t>Perfil</t>
  </si>
  <si>
    <t>Valor a investir por mês</t>
  </si>
  <si>
    <t>Tipos de FII</t>
  </si>
  <si>
    <t>Percentual Sugerido</t>
  </si>
  <si>
    <t>Valor</t>
  </si>
  <si>
    <t>Papel</t>
  </si>
  <si>
    <t>Tijolo</t>
  </si>
  <si>
    <t>HÍbridos</t>
  </si>
  <si>
    <t>Fofs</t>
  </si>
  <si>
    <t>Desenvolvimento</t>
  </si>
  <si>
    <t>Hotelarias</t>
  </si>
  <si>
    <t>Rendimento mensal (%)</t>
  </si>
  <si>
    <t>Aporte Mensal (R$)</t>
  </si>
  <si>
    <t>Conservador</t>
  </si>
  <si>
    <t>Moderado</t>
  </si>
  <si>
    <t>Chave</t>
  </si>
  <si>
    <t>Tipo de FII</t>
  </si>
  <si>
    <t>%</t>
  </si>
  <si>
    <t>PAPEL</t>
  </si>
  <si>
    <t>Moderado-TIJOLO</t>
  </si>
  <si>
    <t>TIJOLO</t>
  </si>
  <si>
    <t>HÍBRIDOS</t>
  </si>
  <si>
    <t>FOFs</t>
  </si>
  <si>
    <t>DESENVOLVIMENTO</t>
  </si>
  <si>
    <t>HOTELARIAS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</si>
</sst>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8">
    <font>
      <sz val="10.0"/>
      <color rgb="FF000000"/>
      <name val="Arial"/>
      <scheme val="minor"/>
    </font>
    <font>
      <b/>
      <color rgb="FFFFFFFF"/>
      <name val="Lora"/>
    </font>
    <font>
      <color rgb="FFFFFFFF"/>
      <name val="Lora"/>
    </font>
    <font>
      <b/>
      <color rgb="FFFF0000"/>
      <name val="Lora"/>
    </font>
    <font/>
    <font>
      <b/>
      <sz val="22.0"/>
      <color rgb="FFFFFFFF"/>
      <name val="Lora"/>
    </font>
    <font>
      <color theme="1"/>
      <name val="Heebo"/>
    </font>
    <font>
      <color theme="1"/>
      <name val="Arial"/>
      <scheme val="minor"/>
    </font>
    <font>
      <color rgb="FFFFFFFF"/>
      <name val="Arial"/>
      <scheme val="minor"/>
    </font>
    <font>
      <b/>
      <sz val="11.0"/>
      <color theme="1"/>
      <name val="Heebo"/>
    </font>
    <font>
      <color theme="1"/>
      <name val="Lora"/>
    </font>
    <font>
      <sz val="10.0"/>
      <color rgb="FF9C5700"/>
      <name val="Lora"/>
    </font>
    <font>
      <b/>
      <color theme="1"/>
      <name val="Heebo"/>
    </font>
    <font>
      <b/>
      <sz val="16.0"/>
      <color rgb="FFFFFFFF"/>
      <name val="Lora"/>
    </font>
    <font>
      <b/>
      <color theme="1"/>
      <name val="Lora"/>
    </font>
    <font>
      <sz val="11.0"/>
      <color rgb="FFFF0000"/>
      <name val="Arial"/>
    </font>
    <font>
      <sz val="10.0"/>
      <color theme="1"/>
      <name val="Heebo"/>
    </font>
    <font>
      <sz val="11.0"/>
      <color rgb="FF9C57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32020"/>
        <bgColor rgb="FF232020"/>
      </patternFill>
    </fill>
    <fill>
      <patternFill patternType="solid">
        <fgColor rgb="FF282525"/>
        <bgColor rgb="FF282525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EB9C"/>
        <bgColor rgb="FFFFEB9C"/>
      </patternFill>
    </fill>
  </fills>
  <borders count="30">
    <border/>
    <border>
      <left style="thin">
        <color rgb="FF0000FF"/>
      </lef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/>
      <top/>
      <bottom/>
    </border>
    <border>
      <right/>
      <top/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</border>
    <border>
      <right/>
      <top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3" fontId="5" numFmtId="0" xfId="0" applyAlignment="1" applyFill="1" applyFont="1">
      <alignment horizontal="center" readingOrder="0"/>
    </xf>
    <xf borderId="0" fillId="4" fontId="6" numFmtId="0" xfId="0" applyAlignment="1" applyFill="1" applyFont="1">
      <alignment readingOrder="0"/>
    </xf>
    <xf borderId="4" fillId="0" fontId="6" numFmtId="164" xfId="0" applyAlignment="1" applyBorder="1" applyFont="1" applyNumberFormat="1">
      <alignment readingOrder="0"/>
    </xf>
    <xf borderId="5" fillId="0" fontId="4" numFmtId="0" xfId="0" applyBorder="1" applyFont="1"/>
    <xf borderId="6" fillId="0" fontId="6" numFmtId="164" xfId="0" applyAlignment="1" applyBorder="1" applyFont="1" applyNumberFormat="1">
      <alignment horizontal="right" readingOrder="0"/>
    </xf>
    <xf borderId="7" fillId="0" fontId="4" numFmtId="0" xfId="0" applyBorder="1" applyFont="1"/>
    <xf borderId="8" fillId="5" fontId="6" numFmtId="164" xfId="0" applyAlignment="1" applyBorder="1" applyFill="1" applyFont="1" applyNumberFormat="1">
      <alignment horizontal="right" readingOrder="0"/>
    </xf>
    <xf borderId="9" fillId="0" fontId="4" numFmtId="0" xfId="0" applyBorder="1" applyFont="1"/>
    <xf borderId="0" fillId="4" fontId="6" numFmtId="10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4" fontId="6" numFmtId="164" xfId="0" applyAlignment="1" applyFont="1" applyNumberFormat="1">
      <alignment readingOrder="0"/>
    </xf>
    <xf borderId="0" fillId="4" fontId="6" numFmtId="1" xfId="0" applyAlignment="1" applyFont="1" applyNumberFormat="1">
      <alignment horizontal="right"/>
    </xf>
    <xf borderId="0" fillId="0" fontId="8" numFmtId="0" xfId="0" applyAlignment="1" applyFont="1">
      <alignment readingOrder="0"/>
    </xf>
    <xf borderId="0" fillId="6" fontId="9" numFmtId="0" xfId="0" applyAlignment="1" applyFill="1" applyFont="1">
      <alignment horizontal="center" readingOrder="0"/>
    </xf>
    <xf borderId="10" fillId="5" fontId="6" numFmtId="0" xfId="0" applyAlignment="1" applyBorder="1" applyFont="1">
      <alignment horizontal="center" readingOrder="0"/>
    </xf>
    <xf borderId="0" fillId="4" fontId="6" numFmtId="164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0" numFmtId="0" xfId="0" applyFont="1"/>
    <xf borderId="0" fillId="3" fontId="2" numFmtId="0" xfId="0" applyAlignment="1" applyFont="1">
      <alignment horizontal="center" readingOrder="0"/>
    </xf>
    <xf borderId="11" fillId="7" fontId="11" numFmtId="0" xfId="0" applyAlignment="1" applyBorder="1" applyFill="1" applyFont="1">
      <alignment horizontal="center" readingOrder="0"/>
    </xf>
    <xf borderId="12" fillId="0" fontId="4" numFmtId="0" xfId="0" applyBorder="1" applyFont="1"/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13" fillId="4" fontId="12" numFmtId="0" xfId="0" applyAlignment="1" applyBorder="1" applyFont="1">
      <alignment horizontal="center" readingOrder="0"/>
    </xf>
    <xf borderId="14" fillId="0" fontId="4" numFmtId="0" xfId="0" applyBorder="1" applyFont="1"/>
    <xf borderId="15" fillId="4" fontId="6" numFmtId="9" xfId="0" applyAlignment="1" applyBorder="1" applyFont="1" applyNumberFormat="1">
      <alignment horizontal="center"/>
    </xf>
    <xf borderId="16" fillId="0" fontId="4" numFmtId="0" xfId="0" applyBorder="1" applyFont="1"/>
    <xf borderId="15" fillId="4" fontId="6" numFmtId="164" xfId="0" applyAlignment="1" applyBorder="1" applyFont="1" applyNumberFormat="1">
      <alignment horizontal="center"/>
    </xf>
    <xf borderId="0" fillId="5" fontId="13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8" fontId="6" numFmtId="0" xfId="0" applyAlignment="1" applyFill="1" applyFont="1">
      <alignment readingOrder="0"/>
    </xf>
    <xf borderId="0" fillId="8" fontId="6" numFmtId="164" xfId="0" applyFont="1" applyNumberFormat="1"/>
    <xf borderId="0" fillId="8" fontId="14" numFmtId="0" xfId="0" applyAlignment="1" applyFont="1">
      <alignment readingOrder="0"/>
    </xf>
    <xf borderId="17" fillId="7" fontId="11" numFmtId="0" xfId="0" applyAlignment="1" applyBorder="1" applyFont="1">
      <alignment horizontal="center" readingOrder="0"/>
    </xf>
    <xf borderId="18" fillId="0" fontId="4" numFmtId="0" xfId="0" applyBorder="1" applyFont="1"/>
    <xf borderId="1" fillId="0" fontId="7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0" fillId="8" fontId="6" numFmtId="0" xfId="0" applyAlignment="1" applyFont="1">
      <alignment horizontal="center" readingOrder="0"/>
    </xf>
    <xf borderId="0" fillId="8" fontId="6" numFmtId="9" xfId="0" applyAlignment="1" applyFont="1" applyNumberFormat="1">
      <alignment horizontal="center"/>
    </xf>
    <xf borderId="0" fillId="8" fontId="6" numFmtId="164" xfId="0" applyAlignment="1" applyFont="1" applyNumberFormat="1">
      <alignment horizontal="center"/>
    </xf>
    <xf borderId="19" fillId="9" fontId="3" numFmtId="0" xfId="0" applyAlignment="1" applyBorder="1" applyFill="1" applyFont="1">
      <alignment horizontal="center" readingOrder="0"/>
    </xf>
    <xf borderId="20" fillId="9" fontId="3" numFmtId="0" xfId="0" applyAlignment="1" applyBorder="1" applyFont="1">
      <alignment horizontal="center" readingOrder="0"/>
    </xf>
    <xf borderId="21" fillId="9" fontId="3" numFmtId="0" xfId="0" applyAlignment="1" applyBorder="1" applyFont="1">
      <alignment horizontal="center" readingOrder="0"/>
    </xf>
    <xf borderId="13" fillId="4" fontId="6" numFmtId="0" xfId="0" applyAlignment="1" applyBorder="1" applyFont="1">
      <alignment horizontal="center" readingOrder="0"/>
    </xf>
    <xf borderId="22" fillId="4" fontId="6" numFmtId="10" xfId="0" applyAlignment="1" applyBorder="1" applyFont="1" applyNumberFormat="1">
      <alignment horizontal="center" readingOrder="0"/>
    </xf>
    <xf borderId="14" fillId="4" fontId="6" numFmtId="164" xfId="0" applyAlignment="1" applyBorder="1" applyFont="1" applyNumberFormat="1">
      <alignment horizontal="center" readingOrder="0"/>
    </xf>
    <xf borderId="23" fillId="4" fontId="6" numFmtId="0" xfId="0" applyAlignment="1" applyBorder="1" applyFont="1">
      <alignment horizontal="center" readingOrder="0"/>
    </xf>
    <xf borderId="0" fillId="4" fontId="6" numFmtId="10" xfId="0" applyAlignment="1" applyFont="1" applyNumberFormat="1">
      <alignment horizontal="center" readingOrder="0"/>
    </xf>
    <xf borderId="24" fillId="4" fontId="6" numFmtId="164" xfId="0" applyAlignment="1" applyBorder="1" applyFont="1" applyNumberFormat="1">
      <alignment horizontal="center" readingOrder="0"/>
    </xf>
    <xf borderId="15" fillId="4" fontId="6" numFmtId="0" xfId="0" applyAlignment="1" applyBorder="1" applyFont="1">
      <alignment horizontal="center" readingOrder="0"/>
    </xf>
    <xf borderId="25" fillId="4" fontId="6" numFmtId="9" xfId="0" applyAlignment="1" applyBorder="1" applyFont="1" applyNumberFormat="1">
      <alignment horizontal="center" readingOrder="0"/>
    </xf>
    <xf borderId="16" fillId="4" fontId="6" numFmtId="164" xfId="0" applyAlignment="1" applyBorder="1" applyFont="1" applyNumberFormat="1">
      <alignment horizontal="center" readingOrder="0"/>
    </xf>
    <xf borderId="26" fillId="9" fontId="15" numFmtId="0" xfId="0" applyAlignment="1" applyBorder="1" applyFont="1">
      <alignment horizontal="center" readingOrder="0" vertical="bottom"/>
    </xf>
    <xf borderId="13" fillId="4" fontId="16" numFmtId="0" xfId="0" applyAlignment="1" applyBorder="1" applyFont="1">
      <alignment vertical="bottom"/>
    </xf>
    <xf borderId="22" fillId="4" fontId="16" numFmtId="0" xfId="0" applyAlignment="1" applyBorder="1" applyFont="1">
      <alignment vertical="bottom"/>
    </xf>
    <xf borderId="22" fillId="4" fontId="16" numFmtId="0" xfId="0" applyAlignment="1" applyBorder="1" applyFont="1">
      <alignment horizontal="center" vertical="bottom"/>
    </xf>
    <xf borderId="14" fillId="4" fontId="16" numFmtId="9" xfId="0" applyAlignment="1" applyBorder="1" applyFont="1" applyNumberFormat="1">
      <alignment horizontal="center" vertical="bottom"/>
    </xf>
    <xf borderId="27" fillId="10" fontId="17" numFmtId="0" xfId="0" applyAlignment="1" applyBorder="1" applyFill="1" applyFont="1">
      <alignment vertical="bottom"/>
    </xf>
    <xf borderId="27" fillId="10" fontId="17" numFmtId="9" xfId="0" applyAlignment="1" applyBorder="1" applyFont="1" applyNumberFormat="1">
      <alignment horizontal="right" vertical="bottom"/>
    </xf>
    <xf borderId="23" fillId="4" fontId="16" numFmtId="0" xfId="0" applyAlignment="1" applyBorder="1" applyFont="1">
      <alignment vertical="bottom"/>
    </xf>
    <xf borderId="0" fillId="4" fontId="16" numFmtId="0" xfId="0" applyAlignment="1" applyFont="1">
      <alignment vertical="bottom"/>
    </xf>
    <xf borderId="0" fillId="4" fontId="16" numFmtId="0" xfId="0" applyAlignment="1" applyFont="1">
      <alignment horizontal="center" vertical="bottom"/>
    </xf>
    <xf borderId="24" fillId="4" fontId="16" numFmtId="9" xfId="0" applyAlignment="1" applyBorder="1" applyFont="1" applyNumberFormat="1">
      <alignment horizontal="center" vertical="bottom"/>
    </xf>
    <xf borderId="15" fillId="4" fontId="16" numFmtId="0" xfId="0" applyAlignment="1" applyBorder="1" applyFont="1">
      <alignment vertical="bottom"/>
    </xf>
    <xf borderId="25" fillId="4" fontId="16" numFmtId="0" xfId="0" applyAlignment="1" applyBorder="1" applyFont="1">
      <alignment vertical="bottom"/>
    </xf>
    <xf borderId="25" fillId="4" fontId="16" numFmtId="0" xfId="0" applyAlignment="1" applyBorder="1" applyFont="1">
      <alignment horizontal="center" vertical="bottom"/>
    </xf>
    <xf borderId="16" fillId="4" fontId="16" numFmtId="9" xfId="0" applyAlignment="1" applyBorder="1" applyFont="1" applyNumberFormat="1">
      <alignment horizontal="center" vertical="bottom"/>
    </xf>
    <xf borderId="28" fillId="4" fontId="16" numFmtId="0" xfId="0" applyAlignment="1" applyBorder="1" applyFont="1">
      <alignment vertical="bottom"/>
    </xf>
    <xf borderId="27" fillId="4" fontId="16" numFmtId="0" xfId="0" applyAlignment="1" applyBorder="1" applyFont="1">
      <alignment vertical="bottom"/>
    </xf>
    <xf borderId="27" fillId="4" fontId="16" numFmtId="0" xfId="0" applyAlignment="1" applyBorder="1" applyFont="1">
      <alignment horizontal="center" vertical="bottom"/>
    </xf>
    <xf borderId="29" fillId="4" fontId="16" numFmtId="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54</xdr:row>
      <xdr:rowOff>171450</xdr:rowOff>
    </xdr:from>
    <xdr:ext cx="6372225" cy="3533775"/>
    <xdr:pic>
      <xdr:nvPicPr>
        <xdr:cNvPr id="167449024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0</xdr:row>
      <xdr:rowOff>0</xdr:rowOff>
    </xdr:from>
    <xdr:ext cx="6372225" cy="11144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22.5"/>
    <col customWidth="1" min="3" max="3" width="7.25"/>
    <col customWidth="1" min="4" max="4" width="21.5"/>
    <col customWidth="1" min="5" max="5" width="18.5"/>
    <col customWidth="1" min="6" max="6" width="13.88"/>
    <col customWidth="1" min="7" max="7" width="4.5"/>
    <col hidden="1" min="8" max="26" width="12.63"/>
  </cols>
  <sheetData>
    <row r="7">
      <c r="B7" s="1" t="s">
        <v>0</v>
      </c>
    </row>
    <row r="8">
      <c r="B8" s="2" t="s">
        <v>1</v>
      </c>
    </row>
    <row r="10">
      <c r="B10" s="3" t="s">
        <v>2</v>
      </c>
      <c r="C10" s="4"/>
      <c r="D10" s="4"/>
      <c r="E10" s="4"/>
      <c r="F10" s="5"/>
    </row>
    <row r="12" ht="27.75" customHeight="1">
      <c r="B12" s="6" t="s">
        <v>3</v>
      </c>
    </row>
    <row r="13">
      <c r="B13" s="7" t="s">
        <v>4</v>
      </c>
      <c r="E13" s="8">
        <v>10000.0</v>
      </c>
      <c r="F13" s="9"/>
    </row>
    <row r="14">
      <c r="B14" s="7" t="s">
        <v>5</v>
      </c>
      <c r="E14" s="10">
        <v>500.0</v>
      </c>
      <c r="F14" s="11"/>
    </row>
    <row r="15">
      <c r="B15" s="7" t="s">
        <v>6</v>
      </c>
      <c r="E15" s="12">
        <v>5000.0</v>
      </c>
      <c r="F15" s="13"/>
    </row>
    <row r="16">
      <c r="B16" s="7" t="s">
        <v>7</v>
      </c>
      <c r="E16" s="14">
        <v>0.006</v>
      </c>
    </row>
    <row r="17">
      <c r="B17" s="15"/>
      <c r="C17" s="15"/>
      <c r="D17" s="15"/>
      <c r="E17" s="15"/>
      <c r="F17" s="15"/>
    </row>
    <row r="18" ht="30.0" customHeight="1">
      <c r="B18" s="6" t="s">
        <v>8</v>
      </c>
    </row>
    <row r="19">
      <c r="B19" s="7" t="s">
        <v>9</v>
      </c>
      <c r="E19" s="16">
        <f>$E$15/$E$16</f>
        <v>833333.3333</v>
      </c>
    </row>
    <row r="20">
      <c r="B20" s="7" t="s">
        <v>10</v>
      </c>
      <c r="E20" s="16">
        <f>$E$19-$E$13</f>
        <v>823333.3333</v>
      </c>
    </row>
    <row r="21">
      <c r="B21" s="7" t="s">
        <v>11</v>
      </c>
      <c r="E21" s="17" t="str">
        <f>INT(NPER(E16,-E14,-E13,E19)/12)&amp;" anos e "&amp;ROUND(MOD(NPER(E16,-E14,-E13,E19,),12),0)&amp;" meses "</f>
        <v>31 anos e 10 meses </v>
      </c>
    </row>
    <row r="22">
      <c r="B22" s="7" t="s">
        <v>12</v>
      </c>
      <c r="E22" s="16">
        <f>E19*E16</f>
        <v>5000</v>
      </c>
    </row>
    <row r="24">
      <c r="B24" s="6" t="s">
        <v>13</v>
      </c>
    </row>
    <row r="25">
      <c r="A25" s="18"/>
      <c r="B25" s="19" t="s">
        <v>14</v>
      </c>
      <c r="C25" s="19" t="s">
        <v>15</v>
      </c>
      <c r="E25" s="19" t="s">
        <v>16</v>
      </c>
    </row>
    <row r="26">
      <c r="A26" s="18"/>
      <c r="B26" s="20">
        <v>4.0</v>
      </c>
      <c r="C26" s="21">
        <f>FV(E16,$B$26*12,-E14)</f>
        <v>27717.5017</v>
      </c>
      <c r="E26" s="21">
        <f>$C$26*E16</f>
        <v>166.3050102</v>
      </c>
    </row>
    <row r="27">
      <c r="B27" s="22"/>
      <c r="C27" s="23"/>
    </row>
    <row r="28">
      <c r="B28" s="6" t="s">
        <v>17</v>
      </c>
    </row>
    <row r="29">
      <c r="B29" s="24" t="s">
        <v>18</v>
      </c>
    </row>
    <row r="30">
      <c r="B30" s="22" t="s">
        <v>19</v>
      </c>
      <c r="E30" s="25" t="s">
        <v>20</v>
      </c>
      <c r="F30" s="26"/>
    </row>
    <row r="31">
      <c r="B31" s="27"/>
      <c r="E31" s="28"/>
    </row>
    <row r="32">
      <c r="B32" s="29" t="s">
        <v>21</v>
      </c>
      <c r="C32" s="30"/>
      <c r="D32" s="27"/>
      <c r="E32" s="29" t="s">
        <v>22</v>
      </c>
      <c r="F32" s="30"/>
    </row>
    <row r="33" ht="23.25" customHeight="1">
      <c r="B33" s="31">
        <f>VLOOKUP(E30,'Inputs - Apoio'!A2:C4,2,0)</f>
        <v>0.01</v>
      </c>
      <c r="C33" s="32"/>
      <c r="D33" s="27"/>
      <c r="E33" s="33">
        <f>VLOOKUP(E30,'Inputs - Apoio'!A2:C4,3,0)</f>
        <v>500</v>
      </c>
      <c r="F33" s="32"/>
    </row>
    <row r="34" ht="23.25" customHeight="1">
      <c r="B34" s="34"/>
      <c r="C34" s="34"/>
      <c r="D34" s="34"/>
      <c r="E34" s="34"/>
      <c r="F34" s="34"/>
    </row>
    <row r="35">
      <c r="B35" s="35" t="s">
        <v>23</v>
      </c>
    </row>
    <row r="36">
      <c r="A36" s="18">
        <v>5.0</v>
      </c>
      <c r="B36" s="36" t="s">
        <v>24</v>
      </c>
      <c r="E36" s="37">
        <f>FV(B33,5*12,-E33,E13,0)</f>
        <v>22667.86794</v>
      </c>
    </row>
    <row r="37">
      <c r="A37" s="18">
        <v>10.0</v>
      </c>
      <c r="B37" s="36" t="s">
        <v>25</v>
      </c>
      <c r="E37" s="37">
        <f>FV(B33,10*12,-E33,$E$13,0)</f>
        <v>82015.47578</v>
      </c>
    </row>
    <row r="38">
      <c r="A38" s="18">
        <v>15.0</v>
      </c>
      <c r="B38" s="36" t="s">
        <v>26</v>
      </c>
      <c r="E38" s="37">
        <f>FV(B33,15*12,-E33,$E$13,0)</f>
        <v>189832.079</v>
      </c>
    </row>
    <row r="39">
      <c r="A39" s="18">
        <v>20.0</v>
      </c>
      <c r="B39" s="36" t="s">
        <v>27</v>
      </c>
      <c r="E39" s="37">
        <f>FV(B33,20*12,-E33,$E$13,0)</f>
        <v>385702.1462</v>
      </c>
    </row>
    <row r="41">
      <c r="B41" s="6" t="s">
        <v>28</v>
      </c>
    </row>
    <row r="42">
      <c r="B42" s="24" t="s">
        <v>29</v>
      </c>
    </row>
    <row r="44">
      <c r="C44" s="38" t="s">
        <v>30</v>
      </c>
      <c r="E44" s="39" t="s">
        <v>20</v>
      </c>
      <c r="F44" s="40"/>
    </row>
    <row r="45">
      <c r="C45" s="38" t="s">
        <v>31</v>
      </c>
      <c r="E45" s="41">
        <v>1000.0</v>
      </c>
      <c r="F45" s="5"/>
    </row>
    <row r="46">
      <c r="B46" s="42"/>
      <c r="C46" s="42"/>
      <c r="D46" s="42"/>
      <c r="E46" s="42"/>
      <c r="F46" s="42"/>
    </row>
    <row r="47">
      <c r="B47" s="43" t="s">
        <v>32</v>
      </c>
      <c r="D47" s="43" t="s">
        <v>33</v>
      </c>
      <c r="E47" s="43" t="s">
        <v>34</v>
      </c>
    </row>
    <row r="48">
      <c r="B48" s="44" t="s">
        <v>35</v>
      </c>
      <c r="D48" s="45">
        <f>VLOOKUP($E$44&amp;"-"&amp;B48,'Inputs - Apoio'!$A$6:$D$24,4,0)</f>
        <v>0.5</v>
      </c>
      <c r="E48" s="46">
        <f>$D$48*$E$45</f>
        <v>500</v>
      </c>
    </row>
    <row r="49">
      <c r="B49" s="44" t="s">
        <v>36</v>
      </c>
      <c r="D49" s="45">
        <f>VLOOKUP($E$44&amp;"-"&amp;B49,'Inputs - Apoio'!$A$6:$D$24,4,0)</f>
        <v>0.1</v>
      </c>
      <c r="E49" s="46">
        <f>$D$49*$E$45</f>
        <v>100</v>
      </c>
    </row>
    <row r="50">
      <c r="B50" s="44" t="s">
        <v>37</v>
      </c>
      <c r="D50" s="45">
        <f>VLOOKUP($E$44&amp;"-"&amp;B50,'Inputs - Apoio'!$A$6:$D$24,4,0)</f>
        <v>0.05</v>
      </c>
      <c r="E50" s="46">
        <f>$D$50*$E$45</f>
        <v>50</v>
      </c>
    </row>
    <row r="51">
      <c r="B51" s="44" t="s">
        <v>38</v>
      </c>
      <c r="D51" s="45">
        <f>VLOOKUP($E$44&amp;"-"&amp;B51,'Inputs - Apoio'!$A$6:$D$24,4,0)</f>
        <v>0.05</v>
      </c>
      <c r="E51" s="46">
        <f>$D$51*$E$45</f>
        <v>50</v>
      </c>
    </row>
    <row r="52">
      <c r="B52" s="44" t="s">
        <v>39</v>
      </c>
      <c r="D52" s="45">
        <f>VLOOKUP($E$44&amp;"-"&amp;B52,'Inputs - Apoio'!$A$6:$D$24,4,0)</f>
        <v>0.2</v>
      </c>
      <c r="E52" s="46">
        <f>$D$52*$E$45</f>
        <v>200</v>
      </c>
    </row>
    <row r="53">
      <c r="B53" s="44" t="s">
        <v>40</v>
      </c>
      <c r="D53" s="45">
        <f>VLOOKUP($E$44&amp;"-"&amp;B53,'Inputs - Apoio'!$A$6:$D$24,4,0)</f>
        <v>0.1</v>
      </c>
      <c r="E53" s="46">
        <f>$D$53*$E$45</f>
        <v>100</v>
      </c>
    </row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</sheetData>
  <mergeCells count="65">
    <mergeCell ref="B30:D30"/>
    <mergeCell ref="B31:D31"/>
    <mergeCell ref="B36:D36"/>
    <mergeCell ref="B37:D37"/>
    <mergeCell ref="B38:D38"/>
    <mergeCell ref="B39:D39"/>
    <mergeCell ref="B41:F41"/>
    <mergeCell ref="B28:F28"/>
    <mergeCell ref="B29:F29"/>
    <mergeCell ref="C25:D25"/>
    <mergeCell ref="E25:F25"/>
    <mergeCell ref="C26:D26"/>
    <mergeCell ref="E26:F26"/>
    <mergeCell ref="E33:F33"/>
    <mergeCell ref="B24:F24"/>
    <mergeCell ref="B35:F35"/>
    <mergeCell ref="C45:D45"/>
    <mergeCell ref="E45:F45"/>
    <mergeCell ref="E48:F48"/>
    <mergeCell ref="E49:F49"/>
    <mergeCell ref="E50:F50"/>
    <mergeCell ref="E51:F51"/>
    <mergeCell ref="B42:F42"/>
    <mergeCell ref="B47:C47"/>
    <mergeCell ref="E47:F47"/>
    <mergeCell ref="B48:C48"/>
    <mergeCell ref="B49:C49"/>
    <mergeCell ref="B50:C50"/>
    <mergeCell ref="B51:C51"/>
    <mergeCell ref="B13:D13"/>
    <mergeCell ref="E13:F13"/>
    <mergeCell ref="E14:F14"/>
    <mergeCell ref="B7:F7"/>
    <mergeCell ref="B8:F8"/>
    <mergeCell ref="B10:F10"/>
    <mergeCell ref="B12:F12"/>
    <mergeCell ref="B14:D14"/>
    <mergeCell ref="B15:D15"/>
    <mergeCell ref="E15:F15"/>
    <mergeCell ref="B16:D16"/>
    <mergeCell ref="E16:F16"/>
    <mergeCell ref="E19:F19"/>
    <mergeCell ref="B18:F18"/>
    <mergeCell ref="B19:D19"/>
    <mergeCell ref="B20:D20"/>
    <mergeCell ref="E20:F20"/>
    <mergeCell ref="B21:D21"/>
    <mergeCell ref="E21:F21"/>
    <mergeCell ref="B22:D22"/>
    <mergeCell ref="E22:F22"/>
    <mergeCell ref="B33:C33"/>
    <mergeCell ref="B32:C32"/>
    <mergeCell ref="E30:F30"/>
    <mergeCell ref="E31:F31"/>
    <mergeCell ref="E32:F32"/>
    <mergeCell ref="E36:F36"/>
    <mergeCell ref="E37:F37"/>
    <mergeCell ref="E38:F38"/>
    <mergeCell ref="E39:F39"/>
    <mergeCell ref="B52:C52"/>
    <mergeCell ref="B53:C53"/>
    <mergeCell ref="E52:F52"/>
    <mergeCell ref="E53:F53"/>
    <mergeCell ref="E44:F44"/>
    <mergeCell ref="C44:D44"/>
  </mergeCells>
  <dataValidations>
    <dataValidation type="list" allowBlank="1" showErrorMessage="1" sqref="E30 E44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23.0"/>
    <col customWidth="1" min="3" max="3" width="19.5"/>
    <col customWidth="1" min="6" max="6" width="16.25"/>
  </cols>
  <sheetData>
    <row r="1">
      <c r="A1" s="47" t="s">
        <v>30</v>
      </c>
      <c r="B1" s="48" t="s">
        <v>41</v>
      </c>
      <c r="C1" s="49" t="s">
        <v>42</v>
      </c>
    </row>
    <row r="2">
      <c r="A2" s="50" t="s">
        <v>43</v>
      </c>
      <c r="B2" s="51">
        <v>0.006</v>
      </c>
      <c r="C2" s="52">
        <f>Investimento!$E$14</f>
        <v>500</v>
      </c>
    </row>
    <row r="3">
      <c r="A3" s="53" t="s">
        <v>44</v>
      </c>
      <c r="B3" s="54">
        <v>0.008</v>
      </c>
      <c r="C3" s="55">
        <f>Investimento!$E$14</f>
        <v>500</v>
      </c>
    </row>
    <row r="4">
      <c r="A4" s="56" t="s">
        <v>20</v>
      </c>
      <c r="B4" s="57">
        <v>0.01</v>
      </c>
      <c r="C4" s="58">
        <f>Investimento!$E$14</f>
        <v>500</v>
      </c>
    </row>
    <row r="6">
      <c r="A6" s="47" t="s">
        <v>45</v>
      </c>
      <c r="B6" s="48" t="s">
        <v>30</v>
      </c>
      <c r="C6" s="48" t="s">
        <v>46</v>
      </c>
      <c r="D6" s="59" t="s">
        <v>47</v>
      </c>
      <c r="G6" s="42" t="s">
        <v>47</v>
      </c>
    </row>
    <row r="7">
      <c r="A7" s="60" t="str">
        <f t="shared" ref="A7:A24" si="1">B7&amp;"-"&amp;C7</f>
        <v>Conservador-PAPEL</v>
      </c>
      <c r="B7" s="61" t="s">
        <v>43</v>
      </c>
      <c r="C7" s="62" t="s">
        <v>48</v>
      </c>
      <c r="D7" s="63">
        <v>0.3</v>
      </c>
      <c r="F7" s="64" t="s">
        <v>49</v>
      </c>
      <c r="G7" s="65">
        <f>VLOOKUP(F7,$A:$D,4,FALSE)</f>
        <v>0.35</v>
      </c>
    </row>
    <row r="8">
      <c r="A8" s="66" t="str">
        <f t="shared" si="1"/>
        <v>Conservador-TIJOLO</v>
      </c>
      <c r="B8" s="67" t="s">
        <v>43</v>
      </c>
      <c r="C8" s="68" t="s">
        <v>50</v>
      </c>
      <c r="D8" s="69">
        <v>0.5</v>
      </c>
    </row>
    <row r="9">
      <c r="A9" s="66" t="str">
        <f t="shared" si="1"/>
        <v>Conservador-HÍBRIDOS</v>
      </c>
      <c r="B9" s="67" t="s">
        <v>43</v>
      </c>
      <c r="C9" s="68" t="s">
        <v>51</v>
      </c>
      <c r="D9" s="69">
        <v>0.1</v>
      </c>
    </row>
    <row r="10">
      <c r="A10" s="66" t="str">
        <f t="shared" si="1"/>
        <v>Conservador-FOFs</v>
      </c>
      <c r="B10" s="67" t="s">
        <v>43</v>
      </c>
      <c r="C10" s="68" t="s">
        <v>52</v>
      </c>
      <c r="D10" s="69">
        <v>0.1</v>
      </c>
    </row>
    <row r="11">
      <c r="A11" s="66" t="str">
        <f t="shared" si="1"/>
        <v>Conservador-DESENVOLVIMENTO</v>
      </c>
      <c r="B11" s="67" t="s">
        <v>43</v>
      </c>
      <c r="C11" s="68" t="s">
        <v>53</v>
      </c>
      <c r="D11" s="69">
        <v>0.0</v>
      </c>
    </row>
    <row r="12">
      <c r="A12" s="70" t="str">
        <f t="shared" si="1"/>
        <v>Conservador-HOTELARIAS</v>
      </c>
      <c r="B12" s="71" t="s">
        <v>43</v>
      </c>
      <c r="C12" s="72" t="s">
        <v>54</v>
      </c>
      <c r="D12" s="73">
        <v>0.0</v>
      </c>
    </row>
    <row r="13">
      <c r="A13" s="60" t="str">
        <f t="shared" si="1"/>
        <v>Moderado-PAPEL</v>
      </c>
      <c r="B13" s="61" t="s">
        <v>44</v>
      </c>
      <c r="C13" s="62" t="s">
        <v>48</v>
      </c>
      <c r="D13" s="63">
        <v>0.32</v>
      </c>
    </row>
    <row r="14">
      <c r="A14" s="74" t="str">
        <f t="shared" si="1"/>
        <v>Moderado-TIJOLO</v>
      </c>
      <c r="B14" s="75" t="s">
        <v>44</v>
      </c>
      <c r="C14" s="76" t="s">
        <v>50</v>
      </c>
      <c r="D14" s="77">
        <v>0.35</v>
      </c>
    </row>
    <row r="15">
      <c r="A15" s="66" t="str">
        <f t="shared" si="1"/>
        <v>Moderado-HÍBRIDOS</v>
      </c>
      <c r="B15" s="67" t="s">
        <v>44</v>
      </c>
      <c r="C15" s="68" t="s">
        <v>51</v>
      </c>
      <c r="D15" s="69">
        <v>0.08</v>
      </c>
    </row>
    <row r="16">
      <c r="A16" s="66" t="str">
        <f t="shared" si="1"/>
        <v>Moderado-FOFs</v>
      </c>
      <c r="B16" s="67" t="s">
        <v>44</v>
      </c>
      <c r="C16" s="68" t="s">
        <v>52</v>
      </c>
      <c r="D16" s="69">
        <v>0.05</v>
      </c>
    </row>
    <row r="17">
      <c r="A17" s="66" t="str">
        <f t="shared" si="1"/>
        <v>Moderado-DESENVOLVIMENTO</v>
      </c>
      <c r="B17" s="67" t="s">
        <v>44</v>
      </c>
      <c r="C17" s="68" t="s">
        <v>53</v>
      </c>
      <c r="D17" s="69">
        <v>0.1</v>
      </c>
    </row>
    <row r="18">
      <c r="A18" s="70" t="str">
        <f t="shared" si="1"/>
        <v>Moderado-HOTELARIAS</v>
      </c>
      <c r="B18" s="71" t="s">
        <v>44</v>
      </c>
      <c r="C18" s="72" t="s">
        <v>54</v>
      </c>
      <c r="D18" s="73">
        <v>0.1</v>
      </c>
    </row>
    <row r="19">
      <c r="A19" s="60" t="str">
        <f t="shared" si="1"/>
        <v>Agressivo-PAPEL</v>
      </c>
      <c r="B19" s="61" t="s">
        <v>20</v>
      </c>
      <c r="C19" s="62" t="s">
        <v>48</v>
      </c>
      <c r="D19" s="63">
        <v>0.5</v>
      </c>
    </row>
    <row r="20">
      <c r="A20" s="66" t="str">
        <f t="shared" si="1"/>
        <v>Agressivo-TIJOLO</v>
      </c>
      <c r="B20" s="67" t="s">
        <v>20</v>
      </c>
      <c r="C20" s="68" t="s">
        <v>50</v>
      </c>
      <c r="D20" s="69">
        <v>0.1</v>
      </c>
    </row>
    <row r="21">
      <c r="A21" s="66" t="str">
        <f t="shared" si="1"/>
        <v>Agressivo-HÍBRIDOS</v>
      </c>
      <c r="B21" s="67" t="s">
        <v>20</v>
      </c>
      <c r="C21" s="68" t="s">
        <v>51</v>
      </c>
      <c r="D21" s="69">
        <v>0.05</v>
      </c>
    </row>
    <row r="22">
      <c r="A22" s="66" t="str">
        <f t="shared" si="1"/>
        <v>Agressivo-FOFs</v>
      </c>
      <c r="B22" s="67" t="s">
        <v>20</v>
      </c>
      <c r="C22" s="68" t="s">
        <v>52</v>
      </c>
      <c r="D22" s="69">
        <v>0.05</v>
      </c>
    </row>
    <row r="23">
      <c r="A23" s="66" t="str">
        <f t="shared" si="1"/>
        <v>Agressivo-DESENVOLVIMENTO</v>
      </c>
      <c r="B23" s="67" t="s">
        <v>20</v>
      </c>
      <c r="C23" s="68" t="s">
        <v>53</v>
      </c>
      <c r="D23" s="69">
        <v>0.2</v>
      </c>
    </row>
    <row r="24">
      <c r="A24" s="70" t="str">
        <f t="shared" si="1"/>
        <v>Agressivo-HOTELARIAS</v>
      </c>
      <c r="B24" s="71" t="s">
        <v>20</v>
      </c>
      <c r="C24" s="72" t="s">
        <v>54</v>
      </c>
      <c r="D24" s="73">
        <v>0.1</v>
      </c>
    </row>
  </sheetData>
  <drawing r:id="rId1"/>
</worksheet>
</file>